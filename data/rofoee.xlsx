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ahi\Desktop\master\master\"/>
    </mc:Choice>
  </mc:AlternateContent>
  <xr:revisionPtr revIDLastSave="0" documentId="13_ncr:1_{A9AB96F8-4EFD-4784-BE23-EB0EF8046F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O10" i="1"/>
  <c r="R10" i="1"/>
  <c r="N8" i="1"/>
  <c r="O8" i="1"/>
  <c r="R8" i="1"/>
  <c r="M10" i="1"/>
  <c r="M8" i="1"/>
  <c r="D10" i="1"/>
  <c r="E10" i="1"/>
  <c r="H10" i="1"/>
  <c r="C10" i="1"/>
  <c r="D8" i="1"/>
  <c r="E8" i="1"/>
  <c r="H8" i="1"/>
  <c r="C8" i="1"/>
  <c r="M11" i="1" l="1"/>
  <c r="N11" i="1"/>
  <c r="O11" i="1"/>
  <c r="R11" i="1"/>
  <c r="O9" i="1"/>
  <c r="M9" i="1"/>
  <c r="D11" i="1"/>
  <c r="E11" i="1"/>
  <c r="C11" i="1"/>
  <c r="N9" i="1"/>
  <c r="D9" i="1"/>
  <c r="E9" i="1"/>
  <c r="H9" i="1"/>
  <c r="C9" i="1"/>
  <c r="R9" i="1"/>
  <c r="H11" i="1"/>
</calcChain>
</file>

<file path=xl/sharedStrings.xml><?xml version="1.0" encoding="utf-8"?>
<sst xmlns="http://schemas.openxmlformats.org/spreadsheetml/2006/main" count="18" uniqueCount="10">
  <si>
    <t>control</t>
  </si>
  <si>
    <t>1day</t>
  </si>
  <si>
    <t>3days</t>
  </si>
  <si>
    <t>average</t>
  </si>
  <si>
    <t>viability</t>
  </si>
  <si>
    <t>sd</t>
  </si>
  <si>
    <t>cv</t>
  </si>
  <si>
    <t>DN</t>
  </si>
  <si>
    <t>SN</t>
  </si>
  <si>
    <t>TiO2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</si>
</sst>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1"/>
  <sheetViews>
    <sheetView tabSelected="1" workbookViewId="0">
      <selection activeCell="K16" sqref="K16"/>
    </sheetView>
  </sheetViews>
  <sheetFormatPr defaultRowHeight="14.4" x14ac:dyDescent="0.3"/>
  <sheetData>
    <row r="2" spans="2:19" x14ac:dyDescent="0.3">
      <c r="B2" s="3" t="s">
        <v>1</v>
      </c>
      <c r="C2" s="1" t="s">
        <v>0</v>
      </c>
      <c r="D2" s="1" t="s">
        <v>7</v>
      </c>
      <c r="E2" s="1" t="s">
        <v>8</v>
      </c>
      <c r="F2" s="1"/>
      <c r="G2" s="1"/>
      <c r="H2" s="1" t="s">
        <v>9</v>
      </c>
      <c r="I2" s="1"/>
      <c r="L2" s="3" t="s">
        <v>2</v>
      </c>
      <c r="M2" s="1" t="s">
        <v>0</v>
      </c>
      <c r="N2" s="1" t="s">
        <v>7</v>
      </c>
      <c r="O2" s="1" t="s">
        <v>8</v>
      </c>
      <c r="P2" s="1"/>
      <c r="Q2" s="1"/>
      <c r="R2" s="1" t="s">
        <v>9</v>
      </c>
      <c r="S2" s="1"/>
    </row>
    <row r="3" spans="2:19" x14ac:dyDescent="0.3">
      <c r="C3" s="2">
        <v>0.34499999999999997</v>
      </c>
      <c r="D3" s="2">
        <v>0.30599999999999999</v>
      </c>
      <c r="E3" s="2">
        <v>0.245</v>
      </c>
      <c r="F3" s="2"/>
      <c r="G3" s="2"/>
      <c r="H3" s="2">
        <v>0.32900000000000001</v>
      </c>
      <c r="I3" s="2"/>
      <c r="M3" s="2">
        <v>0.51500000000000001</v>
      </c>
      <c r="N3" s="2">
        <v>0.47</v>
      </c>
      <c r="O3" s="2">
        <v>0.36699999999999999</v>
      </c>
      <c r="P3" s="2"/>
      <c r="Q3" s="2"/>
      <c r="R3" s="2">
        <v>0.504</v>
      </c>
      <c r="S3" s="2"/>
    </row>
    <row r="4" spans="2:19" x14ac:dyDescent="0.3">
      <c r="C4" s="2">
        <v>0.34100000000000003</v>
      </c>
      <c r="D4" s="2">
        <v>0.30399999999999999</v>
      </c>
      <c r="E4" s="2">
        <v>0.23599999999999999</v>
      </c>
      <c r="F4" s="2"/>
      <c r="G4" s="2"/>
      <c r="H4" s="2">
        <v>0.32900000000000001</v>
      </c>
      <c r="I4" s="2"/>
      <c r="M4" s="2">
        <v>0.501</v>
      </c>
      <c r="N4" s="2">
        <v>0.46500000000000002</v>
      </c>
      <c r="O4" s="2">
        <v>0.39400000000000002</v>
      </c>
      <c r="P4" s="2"/>
      <c r="Q4" s="2"/>
      <c r="R4" s="2">
        <v>0.51200000000000001</v>
      </c>
      <c r="S4" s="2"/>
    </row>
    <row r="5" spans="2:19" x14ac:dyDescent="0.3">
      <c r="C5" s="2">
        <v>0.35199999999999998</v>
      </c>
      <c r="D5" s="2">
        <v>0.315</v>
      </c>
      <c r="E5" s="2">
        <v>0.23799999999999999</v>
      </c>
      <c r="F5" s="2"/>
      <c r="G5" s="2"/>
      <c r="H5" s="2">
        <v>0.318</v>
      </c>
      <c r="I5" s="2"/>
      <c r="M5" s="2">
        <v>0.51200000000000001</v>
      </c>
      <c r="N5" s="2">
        <v>0.48899999999999999</v>
      </c>
      <c r="O5" s="2">
        <v>0.38900000000000001</v>
      </c>
      <c r="P5" s="2"/>
      <c r="Q5" s="2"/>
      <c r="R5" s="2">
        <v>0.48</v>
      </c>
      <c r="S5" s="2"/>
    </row>
    <row r="6" spans="2:19" x14ac:dyDescent="0.3">
      <c r="C6" s="2">
        <v>0.34899999999999998</v>
      </c>
      <c r="D6" s="2">
        <v>0.32</v>
      </c>
      <c r="E6" s="2">
        <v>0.26100000000000001</v>
      </c>
      <c r="F6" s="2"/>
      <c r="G6" s="2"/>
      <c r="H6" s="2">
        <v>0.30099999999999999</v>
      </c>
      <c r="I6" s="2"/>
      <c r="M6" s="2">
        <v>0.51900000000000002</v>
      </c>
      <c r="N6" s="2">
        <v>0.47799999999999998</v>
      </c>
      <c r="O6" s="2">
        <v>0.36399999999999999</v>
      </c>
      <c r="P6" s="2"/>
      <c r="Q6" s="2"/>
      <c r="R6" s="2">
        <v>0.497</v>
      </c>
      <c r="S6" s="2"/>
    </row>
    <row r="8" spans="2:19" x14ac:dyDescent="0.3">
      <c r="B8" s="4" t="s">
        <v>3</v>
      </c>
      <c r="C8" s="5">
        <f>AVERAGE(C3:C6)</f>
        <v>0.34674999999999995</v>
      </c>
      <c r="D8" s="5">
        <f t="shared" ref="D8:H8" si="0">AVERAGE(D3:D6)</f>
        <v>0.31125000000000003</v>
      </c>
      <c r="E8" s="5">
        <f t="shared" si="0"/>
        <v>0.245</v>
      </c>
      <c r="F8" s="5"/>
      <c r="G8" s="5"/>
      <c r="H8" s="5">
        <f t="shared" si="0"/>
        <v>0.31924999999999998</v>
      </c>
      <c r="I8" s="5"/>
      <c r="L8" s="4" t="s">
        <v>3</v>
      </c>
      <c r="M8" s="5">
        <f>AVERAGE(M3:M6)</f>
        <v>0.51175000000000004</v>
      </c>
      <c r="N8" s="5">
        <f t="shared" ref="N8:R8" si="1">AVERAGE(N3:N6)</f>
        <v>0.47549999999999998</v>
      </c>
      <c r="O8" s="5">
        <f t="shared" si="1"/>
        <v>0.37849999999999995</v>
      </c>
      <c r="P8" s="5"/>
      <c r="Q8" s="5"/>
      <c r="R8" s="5">
        <f t="shared" si="1"/>
        <v>0.49824999999999997</v>
      </c>
      <c r="S8" s="5"/>
    </row>
    <row r="9" spans="2:19" x14ac:dyDescent="0.3">
      <c r="B9" s="4" t="s">
        <v>4</v>
      </c>
      <c r="C9" s="5">
        <f>C8/$C$8*100</f>
        <v>100</v>
      </c>
      <c r="D9" s="5">
        <f t="shared" ref="D9:H9" si="2">D8/$C$8*100</f>
        <v>89.762076423936577</v>
      </c>
      <c r="E9" s="5">
        <f t="shared" si="2"/>
        <v>70.656092285508294</v>
      </c>
      <c r="F9" s="5"/>
      <c r="G9" s="5"/>
      <c r="H9" s="5">
        <f t="shared" si="2"/>
        <v>92.069214131218473</v>
      </c>
      <c r="I9" s="5"/>
      <c r="L9" s="4" t="s">
        <v>4</v>
      </c>
      <c r="M9" s="5">
        <f>M8/$M$8*100</f>
        <v>100</v>
      </c>
      <c r="N9" s="5">
        <f t="shared" ref="N9:R9" si="3">N8/$M$8*100</f>
        <v>92.916463116756219</v>
      </c>
      <c r="O9" s="5">
        <f t="shared" si="3"/>
        <v>73.961895456765987</v>
      </c>
      <c r="P9" s="5"/>
      <c r="Q9" s="5"/>
      <c r="R9" s="5">
        <f t="shared" si="3"/>
        <v>97.361993160722989</v>
      </c>
      <c r="S9" s="5"/>
    </row>
    <row r="10" spans="2:19" x14ac:dyDescent="0.3">
      <c r="B10" s="4" t="s">
        <v>5</v>
      </c>
      <c r="C10" s="5">
        <f>STDEV(C3:C6)</f>
        <v>4.7871355387816726E-3</v>
      </c>
      <c r="D10" s="5">
        <f t="shared" ref="D10:H10" si="4">STDEV(D3:D6)</f>
        <v>7.5443135318375232E-3</v>
      </c>
      <c r="E10" s="5">
        <f t="shared" si="4"/>
        <v>1.1343133018115714E-2</v>
      </c>
      <c r="F10" s="5"/>
      <c r="G10" s="5"/>
      <c r="H10" s="5">
        <f t="shared" si="4"/>
        <v>1.3225606476327163E-2</v>
      </c>
      <c r="I10" s="5"/>
      <c r="L10" s="4" t="s">
        <v>5</v>
      </c>
      <c r="M10" s="5">
        <f>STDEV(M3:M6)</f>
        <v>7.7190241179396143E-3</v>
      </c>
      <c r="N10" s="5">
        <f t="shared" ref="N10:R10" si="5">STDEV(N3:N6)</f>
        <v>1.0472185381603331E-2</v>
      </c>
      <c r="O10" s="5">
        <f t="shared" si="5"/>
        <v>1.5198684153570678E-2</v>
      </c>
      <c r="P10" s="5"/>
      <c r="Q10" s="5"/>
      <c r="R10" s="5">
        <f t="shared" si="5"/>
        <v>1.3622897391279642E-2</v>
      </c>
      <c r="S10" s="5"/>
    </row>
    <row r="11" spans="2:19" x14ac:dyDescent="0.3">
      <c r="B11" s="4" t="s">
        <v>6</v>
      </c>
      <c r="C11" s="5">
        <f>C10/C8*100</f>
        <v>1.3805726139240586</v>
      </c>
      <c r="D11" s="5">
        <f t="shared" ref="D11:H11" si="6">D10/D8*100</f>
        <v>2.4238758335220956</v>
      </c>
      <c r="E11" s="5">
        <f t="shared" si="6"/>
        <v>4.6298502114758016</v>
      </c>
      <c r="F11" s="5"/>
      <c r="G11" s="5"/>
      <c r="H11" s="5">
        <f t="shared" si="6"/>
        <v>4.142711503939597</v>
      </c>
      <c r="I11" s="5"/>
      <c r="L11" s="4" t="s">
        <v>6</v>
      </c>
      <c r="M11" s="5">
        <f>M10/M8*100</f>
        <v>1.5083584011606475</v>
      </c>
      <c r="N11" s="5">
        <f t="shared" ref="N11:R11" si="7">N10/N8*100</f>
        <v>2.2023523410311947</v>
      </c>
      <c r="O11" s="5">
        <f t="shared" si="7"/>
        <v>4.0155043998865736</v>
      </c>
      <c r="P11" s="5"/>
      <c r="Q11" s="5"/>
      <c r="R11" s="5">
        <f t="shared" si="7"/>
        <v>2.7341489997550714</v>
      </c>
      <c r="S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shahrzad rofoee</cp:lastModifiedBy>
  <dcterms:created xsi:type="dcterms:W3CDTF">2022-10-04T17:27:06Z</dcterms:created>
  <dcterms:modified xsi:type="dcterms:W3CDTF">2026-07-09T14:51:12Z</dcterms:modified>
</cp:coreProperties>
</file>